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am/Desktop/UW/paper2/github/data/sampling/ghg/"/>
    </mc:Choice>
  </mc:AlternateContent>
  <xr:revisionPtr revIDLastSave="0" documentId="13_ncr:1_{97D2F572-5654-B24D-BBBB-71B49B228A07}" xr6:coauthVersionLast="47" xr6:coauthVersionMax="47" xr10:uidLastSave="{00000000-0000-0000-0000-000000000000}"/>
  <bookViews>
    <workbookView xWindow="1460" yWindow="-22120" windowWidth="24000" windowHeight="18980" xr2:uid="{5D78C863-DB51-414A-8C70-78F5C24BA3CE}"/>
  </bookViews>
  <sheets>
    <sheet name="Sheet1" sheetId="1" r:id="rId1"/>
    <sheet name="O2N2_cuts" sheetId="4" r:id="rId2"/>
    <sheet name="Sheet3" sheetId="3" r:id="rId3"/>
    <sheet name="Sheet2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4" i="1" l="1"/>
  <c r="E45" i="1"/>
  <c r="E46" i="1"/>
  <c r="E47" i="1"/>
  <c r="E48" i="1"/>
  <c r="E49" i="1"/>
  <c r="E43" i="1"/>
  <c r="I12" i="4"/>
  <c r="I11" i="4"/>
  <c r="I10" i="4"/>
  <c r="I9" i="4"/>
  <c r="I8" i="4"/>
  <c r="I7" i="4"/>
  <c r="I6" i="4"/>
  <c r="H7" i="4"/>
  <c r="H8" i="4"/>
  <c r="H9" i="4"/>
  <c r="H10" i="4"/>
  <c r="H11" i="4"/>
  <c r="H12" i="4"/>
  <c r="H6" i="4"/>
  <c r="B24" i="4"/>
  <c r="D42" i="1"/>
  <c r="E42" i="1" s="1"/>
  <c r="S3" i="3"/>
  <c r="T3" i="3"/>
  <c r="V3" i="3" s="1"/>
  <c r="S4" i="3"/>
  <c r="T4" i="3"/>
  <c r="S5" i="3"/>
  <c r="T5" i="3"/>
  <c r="S6" i="3"/>
  <c r="T6" i="3"/>
  <c r="S7" i="3"/>
  <c r="T7" i="3"/>
  <c r="S8" i="3"/>
  <c r="T8" i="3"/>
  <c r="S9" i="3"/>
  <c r="T9" i="3"/>
  <c r="S10" i="3"/>
  <c r="T10" i="3"/>
  <c r="T2" i="3"/>
  <c r="V2" i="3" s="1"/>
  <c r="S2" i="3"/>
  <c r="V4" i="3"/>
  <c r="V5" i="3"/>
  <c r="V6" i="3"/>
  <c r="V7" i="3"/>
  <c r="V8" i="3"/>
  <c r="V9" i="3"/>
  <c r="V10" i="3"/>
  <c r="U13" i="3"/>
  <c r="U3" i="3"/>
  <c r="U4" i="3"/>
  <c r="U5" i="3"/>
  <c r="U6" i="3"/>
  <c r="U7" i="3"/>
  <c r="U8" i="3"/>
  <c r="U9" i="3"/>
  <c r="U10" i="3"/>
  <c r="R3" i="3"/>
  <c r="R4" i="3"/>
  <c r="R5" i="3"/>
  <c r="R6" i="3"/>
  <c r="R7" i="3"/>
  <c r="R8" i="3"/>
  <c r="R9" i="3"/>
  <c r="R10" i="3"/>
  <c r="U2" i="3"/>
  <c r="R2" i="3"/>
  <c r="N3" i="3"/>
  <c r="O3" i="3"/>
  <c r="P3" i="3"/>
  <c r="Q3" i="3"/>
  <c r="N4" i="3"/>
  <c r="O4" i="3"/>
  <c r="P4" i="3"/>
  <c r="Q4" i="3"/>
  <c r="N5" i="3"/>
  <c r="O5" i="3"/>
  <c r="P5" i="3"/>
  <c r="Q5" i="3"/>
  <c r="N6" i="3"/>
  <c r="O6" i="3"/>
  <c r="P6" i="3"/>
  <c r="Q6" i="3"/>
  <c r="N7" i="3"/>
  <c r="O7" i="3"/>
  <c r="P7" i="3"/>
  <c r="Q7" i="3"/>
  <c r="N8" i="3"/>
  <c r="O8" i="3"/>
  <c r="P8" i="3"/>
  <c r="Q8" i="3"/>
  <c r="N9" i="3"/>
  <c r="O9" i="3"/>
  <c r="P9" i="3"/>
  <c r="Q9" i="3"/>
  <c r="N10" i="3"/>
  <c r="O10" i="3"/>
  <c r="P10" i="3"/>
  <c r="Q10" i="3"/>
  <c r="I3" i="3"/>
  <c r="I4" i="3"/>
  <c r="I6" i="3"/>
  <c r="I7" i="3"/>
  <c r="I8" i="3"/>
  <c r="I9" i="3"/>
  <c r="O2" i="3"/>
  <c r="P2" i="3"/>
  <c r="Q2" i="3"/>
  <c r="N2" i="3"/>
  <c r="I2" i="3"/>
  <c r="H3" i="3"/>
  <c r="H4" i="3"/>
  <c r="H5" i="3"/>
  <c r="H6" i="3"/>
  <c r="H7" i="3"/>
  <c r="H8" i="3"/>
  <c r="H9" i="3"/>
  <c r="H10" i="3"/>
  <c r="H2" i="3"/>
  <c r="F2" i="3"/>
  <c r="F3" i="3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G2" i="3"/>
  <c r="E41" i="1"/>
  <c r="E40" i="1"/>
  <c r="E39" i="1"/>
  <c r="E37" i="1"/>
  <c r="E36" i="1"/>
  <c r="E34" i="1"/>
  <c r="E35" i="1"/>
  <c r="E38" i="1"/>
  <c r="C23" i="1" a="1"/>
  <c r="E6" i="2"/>
  <c r="E7" i="2"/>
  <c r="E8" i="2"/>
  <c r="E9" i="2"/>
  <c r="E10" i="2"/>
  <c r="E11" i="2"/>
  <c r="E12" i="2"/>
  <c r="E13" i="2"/>
  <c r="E14" i="2"/>
  <c r="E15" i="2"/>
  <c r="D6" i="2"/>
  <c r="D7" i="2"/>
  <c r="D8" i="2"/>
  <c r="D9" i="2"/>
  <c r="D10" i="2"/>
  <c r="D11" i="2"/>
  <c r="D12" i="2"/>
  <c r="D13" i="2"/>
  <c r="D14" i="2"/>
  <c r="F14" i="2" s="1"/>
  <c r="D15" i="2"/>
  <c r="F15" i="2" s="1"/>
  <c r="D5" i="2"/>
  <c r="E5" i="2"/>
  <c r="F5" i="2"/>
  <c r="F6" i="2"/>
  <c r="F7" i="2"/>
  <c r="F8" i="2"/>
  <c r="F9" i="2"/>
  <c r="F10" i="2"/>
  <c r="F11" i="2"/>
  <c r="F12" i="2"/>
  <c r="I5" i="3" l="1"/>
  <c r="I10" i="3"/>
  <c r="F1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<sst xmlns="http://schemas.openxmlformats.org/spreadsheetml/2006/main" count="200" uniqueCount="74">
  <si>
    <t>section</t>
  </si>
  <si>
    <t>stick</t>
  </si>
  <si>
    <t>rch4</t>
  </si>
  <si>
    <t>tac</t>
  </si>
  <si>
    <t>ch4</t>
  </si>
  <si>
    <t>co2</t>
  </si>
  <si>
    <t>mid_depth</t>
  </si>
  <si>
    <t>bottom_depth</t>
  </si>
  <si>
    <t>top_depth</t>
  </si>
  <si>
    <t>228_4</t>
  </si>
  <si>
    <t>lco2</t>
  </si>
  <si>
    <t>230_4</t>
  </si>
  <si>
    <t>230_4 CO2 depth handling</t>
  </si>
  <si>
    <t>0 cm</t>
  </si>
  <si>
    <t>2.6 cm</t>
  </si>
  <si>
    <t>5.0 cm</t>
  </si>
  <si>
    <t>7.6 cm</t>
  </si>
  <si>
    <t>11 cm</t>
  </si>
  <si>
    <t>12.6 cm</t>
  </si>
  <si>
    <t>15.1 cm</t>
  </si>
  <si>
    <t>17.6 cm</t>
  </si>
  <si>
    <t>20.1 cm</t>
  </si>
  <si>
    <t>22.5 cm</t>
  </si>
  <si>
    <t>25 cm</t>
  </si>
  <si>
    <t>length</t>
  </si>
  <si>
    <t>stick top</t>
  </si>
  <si>
    <t>offset</t>
  </si>
  <si>
    <t>TD</t>
  </si>
  <si>
    <t>BD</t>
  </si>
  <si>
    <t>2.5 cm</t>
  </si>
  <si>
    <t>5 cm</t>
  </si>
  <si>
    <t>7.4 cm</t>
  </si>
  <si>
    <t>9.6 cm</t>
  </si>
  <si>
    <t>12.5 cm</t>
  </si>
  <si>
    <t>15 cm</t>
  </si>
  <si>
    <t>17.5 cm</t>
  </si>
  <si>
    <t>19.1 cm</t>
  </si>
  <si>
    <t>26 cm</t>
  </si>
  <si>
    <t>d18O</t>
  </si>
  <si>
    <t>dD</t>
  </si>
  <si>
    <t>dxs</t>
  </si>
  <si>
    <t>left_topdepth</t>
  </si>
  <si>
    <t>right_topdepth</t>
  </si>
  <si>
    <t>top_left_depth</t>
  </si>
  <si>
    <t>top_right_depth</t>
  </si>
  <si>
    <t>bottom_left_depth</t>
  </si>
  <si>
    <t>bottom_right_depth</t>
  </si>
  <si>
    <t>bottom_right_depth2</t>
  </si>
  <si>
    <t>top_right_depth2</t>
  </si>
  <si>
    <t>offset2</t>
  </si>
  <si>
    <t>offset2b</t>
  </si>
  <si>
    <t>d13C</t>
  </si>
  <si>
    <t>section top</t>
  </si>
  <si>
    <t>sample</t>
  </si>
  <si>
    <t>scratch</t>
  </si>
  <si>
    <t>scatch</t>
  </si>
  <si>
    <t>thickness</t>
  </si>
  <si>
    <t>d15N</t>
  </si>
  <si>
    <t>d40Ar</t>
  </si>
  <si>
    <t>d18Ograv</t>
  </si>
  <si>
    <t>dO2/N2</t>
  </si>
  <si>
    <t>dO2/Ar</t>
  </si>
  <si>
    <t>dAr/N2</t>
  </si>
  <si>
    <t>dCO2/N2</t>
  </si>
  <si>
    <t>d18O_o2</t>
  </si>
  <si>
    <t>d17O_2</t>
  </si>
  <si>
    <t>d18O_atm</t>
  </si>
  <si>
    <t>o2n2</t>
  </si>
  <si>
    <t>o2n3</t>
  </si>
  <si>
    <t>o2n4</t>
  </si>
  <si>
    <t>o2n5</t>
  </si>
  <si>
    <t>o2n6</t>
  </si>
  <si>
    <t>o2n7</t>
  </si>
  <si>
    <t>o2n8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</si>
</sst>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3"/>
      <color theme="1"/>
      <name val="Helvetica Neue"/>
      <family val="2"/>
    </font>
    <font>
      <sz val="10"/>
      <color theme="1"/>
      <name val="Arial"/>
      <family val="2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37B97-9650-DA43-B790-3970A5ED3209}">
  <dimension ref="A1:AA49"/>
  <sheetViews>
    <sheetView tabSelected="1" topLeftCell="L1" workbookViewId="0">
      <selection activeCell="Q43" sqref="Q43:Z49"/>
    </sheetView>
  </sheetViews>
  <sheetFormatPr baseColWidth="10" defaultRowHeight="16" x14ac:dyDescent="0.2"/>
  <cols>
    <col min="5" max="5" width="15.6640625" customWidth="1"/>
    <col min="7" max="7" width="14.33203125" customWidth="1"/>
    <col min="9" max="9" width="18.83203125" customWidth="1"/>
  </cols>
  <sheetData>
    <row r="1" spans="1:27" x14ac:dyDescent="0.2">
      <c r="A1" t="s">
        <v>0</v>
      </c>
      <c r="B1" t="s">
        <v>1</v>
      </c>
      <c r="C1" t="s">
        <v>8</v>
      </c>
      <c r="D1" t="s">
        <v>7</v>
      </c>
      <c r="E1" t="s">
        <v>6</v>
      </c>
      <c r="F1" t="s">
        <v>43</v>
      </c>
      <c r="G1" t="s">
        <v>44</v>
      </c>
      <c r="H1" t="s">
        <v>45</v>
      </c>
      <c r="I1" t="s">
        <v>46</v>
      </c>
      <c r="J1" t="s">
        <v>5</v>
      </c>
      <c r="K1" t="s">
        <v>4</v>
      </c>
      <c r="L1" t="s">
        <v>3</v>
      </c>
      <c r="M1" t="s">
        <v>38</v>
      </c>
      <c r="N1" t="s">
        <v>39</v>
      </c>
      <c r="O1" t="s">
        <v>40</v>
      </c>
      <c r="P1" t="s">
        <v>51</v>
      </c>
      <c r="Q1" s="7" t="s">
        <v>57</v>
      </c>
      <c r="R1" s="7" t="s">
        <v>64</v>
      </c>
      <c r="S1" s="7" t="s">
        <v>65</v>
      </c>
      <c r="T1" s="7" t="s">
        <v>58</v>
      </c>
      <c r="U1" s="7" t="s">
        <v>59</v>
      </c>
      <c r="V1" s="7" t="s">
        <v>60</v>
      </c>
      <c r="W1" s="7" t="s">
        <v>61</v>
      </c>
      <c r="X1" s="7" t="s">
        <v>62</v>
      </c>
      <c r="Y1" s="7" t="s">
        <v>63</v>
      </c>
      <c r="Z1" s="7" t="s">
        <v>66</v>
      </c>
      <c r="AA1" s="7"/>
    </row>
    <row r="2" spans="1:27" x14ac:dyDescent="0.2">
      <c r="A2" t="s">
        <v>9</v>
      </c>
      <c r="B2" t="s">
        <v>2</v>
      </c>
      <c r="C2">
        <v>155.07249999999999</v>
      </c>
      <c r="D2">
        <v>155.1</v>
      </c>
      <c r="E2">
        <v>155.08625000000001</v>
      </c>
      <c r="F2">
        <v>155.08849999999998</v>
      </c>
      <c r="G2">
        <v>155.09249999999997</v>
      </c>
      <c r="H2">
        <v>155.10249999999999</v>
      </c>
      <c r="I2">
        <v>155.13649999999998</v>
      </c>
      <c r="K2">
        <v>513.39643590000003</v>
      </c>
      <c r="L2">
        <v>0.100997292</v>
      </c>
    </row>
    <row r="3" spans="1:27" x14ac:dyDescent="0.2">
      <c r="A3" t="s">
        <v>9</v>
      </c>
      <c r="B3" t="s">
        <v>2</v>
      </c>
      <c r="C3">
        <v>155.1</v>
      </c>
      <c r="D3">
        <v>155.125</v>
      </c>
      <c r="E3">
        <v>155.11250000000001</v>
      </c>
      <c r="F3">
        <v>155.10249999999999</v>
      </c>
      <c r="G3">
        <v>155.13649999999998</v>
      </c>
      <c r="H3">
        <v>155.1275</v>
      </c>
      <c r="I3">
        <v>155.16749999999999</v>
      </c>
      <c r="K3">
        <v>521.20168609999996</v>
      </c>
      <c r="L3">
        <v>9.7894287999999996E-2</v>
      </c>
    </row>
    <row r="4" spans="1:27" x14ac:dyDescent="0.2">
      <c r="A4" t="s">
        <v>9</v>
      </c>
      <c r="B4" t="s">
        <v>2</v>
      </c>
      <c r="C4">
        <v>155.125</v>
      </c>
      <c r="D4">
        <v>155.15</v>
      </c>
      <c r="E4">
        <v>155.13749999999999</v>
      </c>
      <c r="F4">
        <v>155.1275</v>
      </c>
      <c r="G4">
        <v>155.16749999999999</v>
      </c>
      <c r="H4">
        <v>155.1575</v>
      </c>
      <c r="I4">
        <v>155.19149999999999</v>
      </c>
      <c r="K4">
        <v>566.79918099999998</v>
      </c>
      <c r="L4">
        <v>9.3101737000000004E-2</v>
      </c>
    </row>
    <row r="5" spans="1:27" x14ac:dyDescent="0.2">
      <c r="A5" t="s">
        <v>9</v>
      </c>
      <c r="B5" t="s">
        <v>2</v>
      </c>
      <c r="C5">
        <v>155.15</v>
      </c>
      <c r="D5">
        <v>155.17500000000001</v>
      </c>
      <c r="E5">
        <v>155.16249999999999</v>
      </c>
      <c r="F5">
        <v>155.1575</v>
      </c>
      <c r="G5">
        <v>155.19149999999999</v>
      </c>
      <c r="H5">
        <v>155.17949999999999</v>
      </c>
      <c r="I5">
        <v>155.21749999999997</v>
      </c>
      <c r="K5">
        <v>575.73996339999997</v>
      </c>
      <c r="L5">
        <v>9.6401944000000003E-2</v>
      </c>
    </row>
    <row r="6" spans="1:27" x14ac:dyDescent="0.2">
      <c r="A6" t="s">
        <v>9</v>
      </c>
      <c r="B6" t="s">
        <v>2</v>
      </c>
      <c r="C6">
        <v>155.17500000000001</v>
      </c>
      <c r="D6">
        <v>155.19999999999999</v>
      </c>
      <c r="E6">
        <v>155.1875</v>
      </c>
      <c r="F6">
        <v>155.17949999999999</v>
      </c>
      <c r="G6">
        <v>155.21749999999997</v>
      </c>
      <c r="H6">
        <v>155.2045</v>
      </c>
      <c r="I6">
        <v>155.24249999999998</v>
      </c>
      <c r="K6">
        <v>593.48608549999994</v>
      </c>
      <c r="L6">
        <v>0.100555226</v>
      </c>
    </row>
    <row r="7" spans="1:27" x14ac:dyDescent="0.2">
      <c r="A7" t="s">
        <v>9</v>
      </c>
      <c r="B7" t="s">
        <v>2</v>
      </c>
      <c r="C7">
        <v>155.19999999999999</v>
      </c>
      <c r="D7">
        <v>155.22749999999999</v>
      </c>
      <c r="E7">
        <v>155.21375</v>
      </c>
      <c r="F7">
        <v>155.2045</v>
      </c>
      <c r="G7">
        <v>155.24249999999998</v>
      </c>
      <c r="H7">
        <v>155.2405</v>
      </c>
      <c r="I7">
        <v>155.27149999999997</v>
      </c>
      <c r="K7">
        <v>618.58037349999995</v>
      </c>
      <c r="L7">
        <v>9.6052947999999999E-2</v>
      </c>
    </row>
    <row r="8" spans="1:27" x14ac:dyDescent="0.2">
      <c r="A8" t="s">
        <v>9</v>
      </c>
      <c r="B8" t="s">
        <v>2</v>
      </c>
      <c r="C8">
        <v>155.22749999999999</v>
      </c>
      <c r="D8">
        <v>155.27000000000001</v>
      </c>
      <c r="E8">
        <v>155.24875</v>
      </c>
      <c r="F8">
        <v>155.2405</v>
      </c>
      <c r="G8">
        <v>155.27149999999997</v>
      </c>
      <c r="H8">
        <v>155.2645</v>
      </c>
      <c r="I8">
        <v>155.30249999999998</v>
      </c>
      <c r="K8">
        <v>627.77715360000002</v>
      </c>
      <c r="L8">
        <v>9.6107177000000002E-2</v>
      </c>
    </row>
    <row r="9" spans="1:27" x14ac:dyDescent="0.2">
      <c r="A9" t="s">
        <v>9</v>
      </c>
      <c r="B9" t="s">
        <v>2</v>
      </c>
      <c r="C9">
        <v>155.27000000000001</v>
      </c>
      <c r="D9">
        <v>155.29499999999999</v>
      </c>
      <c r="E9">
        <v>155.2825</v>
      </c>
      <c r="F9">
        <v>155.2645</v>
      </c>
      <c r="G9">
        <v>155.30249999999998</v>
      </c>
      <c r="H9">
        <v>155.2895</v>
      </c>
      <c r="I9">
        <v>155.32749999999999</v>
      </c>
      <c r="K9">
        <v>578.25503690000005</v>
      </c>
      <c r="L9">
        <v>9.9159223000000005E-2</v>
      </c>
    </row>
    <row r="10" spans="1:27" x14ac:dyDescent="0.2">
      <c r="A10" t="s">
        <v>9</v>
      </c>
      <c r="B10" t="s">
        <v>2</v>
      </c>
      <c r="C10">
        <v>155.29499999999999</v>
      </c>
      <c r="D10">
        <v>155.32</v>
      </c>
      <c r="E10">
        <v>155.3075</v>
      </c>
      <c r="F10">
        <v>155.2895</v>
      </c>
      <c r="G10">
        <v>155.32749999999999</v>
      </c>
      <c r="H10">
        <v>155.33249999999998</v>
      </c>
      <c r="I10">
        <v>155.33249999999998</v>
      </c>
      <c r="K10">
        <v>572.04765689999999</v>
      </c>
      <c r="L10">
        <v>8.5164080000000003E-2</v>
      </c>
    </row>
    <row r="11" spans="1:27" x14ac:dyDescent="0.2">
      <c r="A11" t="s">
        <v>9</v>
      </c>
      <c r="B11" t="s">
        <v>10</v>
      </c>
      <c r="C11">
        <v>155.07</v>
      </c>
      <c r="D11">
        <v>155.0925</v>
      </c>
      <c r="E11">
        <v>155.08125000000001</v>
      </c>
      <c r="J11">
        <v>646</v>
      </c>
    </row>
    <row r="12" spans="1:27" x14ac:dyDescent="0.2">
      <c r="A12" t="s">
        <v>9</v>
      </c>
      <c r="B12" t="s">
        <v>10</v>
      </c>
      <c r="C12">
        <v>155.0925</v>
      </c>
      <c r="D12">
        <v>155.11250000000001</v>
      </c>
      <c r="E12">
        <v>155.10249999999999</v>
      </c>
      <c r="J12">
        <v>751</v>
      </c>
    </row>
    <row r="13" spans="1:27" x14ac:dyDescent="0.2">
      <c r="A13" t="s">
        <v>9</v>
      </c>
      <c r="B13" t="s">
        <v>10</v>
      </c>
      <c r="C13">
        <v>155.11250000000001</v>
      </c>
      <c r="D13">
        <v>155.13999999999999</v>
      </c>
      <c r="E13">
        <v>155.12625</v>
      </c>
      <c r="J13">
        <v>799</v>
      </c>
    </row>
    <row r="14" spans="1:27" x14ac:dyDescent="0.2">
      <c r="A14" t="s">
        <v>9</v>
      </c>
      <c r="B14" t="s">
        <v>10</v>
      </c>
      <c r="C14">
        <v>155.13999999999999</v>
      </c>
      <c r="D14">
        <v>155.16249999999999</v>
      </c>
      <c r="E14">
        <v>155.15125</v>
      </c>
      <c r="J14">
        <v>822</v>
      </c>
    </row>
    <row r="15" spans="1:27" x14ac:dyDescent="0.2">
      <c r="A15" t="s">
        <v>9</v>
      </c>
      <c r="B15" t="s">
        <v>10</v>
      </c>
      <c r="C15">
        <v>155.16249999999999</v>
      </c>
      <c r="D15">
        <v>155.1825</v>
      </c>
      <c r="E15">
        <v>155.17250000000001</v>
      </c>
      <c r="J15">
        <v>818.9</v>
      </c>
    </row>
    <row r="16" spans="1:27" x14ac:dyDescent="0.2">
      <c r="A16" t="s">
        <v>9</v>
      </c>
      <c r="B16" t="s">
        <v>10</v>
      </c>
      <c r="C16">
        <v>155.1825</v>
      </c>
      <c r="D16">
        <v>155.20249999999999</v>
      </c>
      <c r="E16">
        <v>155.1925</v>
      </c>
      <c r="J16">
        <v>793.46</v>
      </c>
    </row>
    <row r="17" spans="1:10" x14ac:dyDescent="0.2">
      <c r="A17" t="s">
        <v>9</v>
      </c>
      <c r="B17" t="s">
        <v>10</v>
      </c>
      <c r="C17">
        <v>155.20249999999999</v>
      </c>
      <c r="D17">
        <v>155.2225</v>
      </c>
      <c r="E17">
        <v>155.21250000000001</v>
      </c>
      <c r="J17">
        <v>773.09</v>
      </c>
    </row>
    <row r="18" spans="1:10" x14ac:dyDescent="0.2">
      <c r="A18" t="s">
        <v>9</v>
      </c>
      <c r="B18" t="s">
        <v>10</v>
      </c>
      <c r="C18">
        <v>155.2225</v>
      </c>
      <c r="D18">
        <v>155.25749999999999</v>
      </c>
      <c r="E18">
        <v>155.24</v>
      </c>
      <c r="J18">
        <v>741.4</v>
      </c>
    </row>
    <row r="19" spans="1:10" x14ac:dyDescent="0.2">
      <c r="A19" t="s">
        <v>9</v>
      </c>
      <c r="B19" t="s">
        <v>10</v>
      </c>
      <c r="C19">
        <v>155.25749999999999</v>
      </c>
      <c r="D19">
        <v>155.2775</v>
      </c>
      <c r="E19">
        <v>155.26750000000001</v>
      </c>
      <c r="J19">
        <v>731.26</v>
      </c>
    </row>
    <row r="20" spans="1:10" x14ac:dyDescent="0.2">
      <c r="A20" t="s">
        <v>9</v>
      </c>
      <c r="B20" t="s">
        <v>10</v>
      </c>
      <c r="C20">
        <v>155.2775</v>
      </c>
      <c r="D20">
        <v>155.29750000000001</v>
      </c>
      <c r="E20">
        <v>155.28749999999999</v>
      </c>
      <c r="J20">
        <v>727.65</v>
      </c>
    </row>
    <row r="21" spans="1:10" x14ac:dyDescent="0.2">
      <c r="A21" t="s">
        <v>9</v>
      </c>
      <c r="B21" t="s">
        <v>10</v>
      </c>
      <c r="C21">
        <v>155.29750000000001</v>
      </c>
      <c r="D21">
        <v>155.3175</v>
      </c>
      <c r="E21">
        <v>155.3075</v>
      </c>
      <c r="J21">
        <v>740.8</v>
      </c>
    </row>
    <row r="22" spans="1:10" x14ac:dyDescent="0.2">
      <c r="A22" t="s">
        <v>9</v>
      </c>
      <c r="B22" t="s">
        <v>10</v>
      </c>
      <c r="C22">
        <v>155.3175</v>
      </c>
      <c r="D22">
        <v>155.33000000000001</v>
      </c>
      <c r="E22">
        <v>155.32374999999999</v>
      </c>
      <c r="J22">
        <v>769.28</v>
      </c>
    </row>
    <row r="23" spans="1:10" x14ac:dyDescent="0.2">
      <c r="A23" t="s">
        <v>11</v>
      </c>
      <c r="B23" t="s">
        <v>5</v>
      </c>
      <c r="C23" cm="1">
        <f t="array" ref="C23:E33">Sheet2!D5:F15</f>
        <v>156.78900000000002</v>
      </c>
      <c r="D23">
        <v>156.81400000000002</v>
      </c>
      <c r="E23">
        <v>156.80150000000003</v>
      </c>
      <c r="J23" s="1">
        <v>929.65326090001497</v>
      </c>
    </row>
    <row r="24" spans="1:10" x14ac:dyDescent="0.2">
      <c r="A24" t="s">
        <v>11</v>
      </c>
      <c r="B24" t="s">
        <v>5</v>
      </c>
      <c r="C24">
        <v>156.81500000000003</v>
      </c>
      <c r="D24">
        <v>156.83900000000003</v>
      </c>
      <c r="E24">
        <v>156.82700000000003</v>
      </c>
      <c r="J24" s="1">
        <v>930.44694399046705</v>
      </c>
    </row>
    <row r="25" spans="1:10" x14ac:dyDescent="0.2">
      <c r="A25" t="s">
        <v>11</v>
      </c>
      <c r="B25" t="s">
        <v>5</v>
      </c>
      <c r="C25">
        <v>156.83900000000003</v>
      </c>
      <c r="D25">
        <v>156.86300000000003</v>
      </c>
      <c r="E25">
        <v>156.85100000000003</v>
      </c>
      <c r="J25" s="1">
        <v>914.58605951339928</v>
      </c>
    </row>
    <row r="26" spans="1:10" x14ac:dyDescent="0.2">
      <c r="A26" t="s">
        <v>11</v>
      </c>
      <c r="B26" t="s">
        <v>5</v>
      </c>
      <c r="C26">
        <v>156.86500000000001</v>
      </c>
      <c r="D26">
        <v>156.88500000000002</v>
      </c>
      <c r="E26">
        <v>156.875</v>
      </c>
      <c r="J26" s="1">
        <v>905.49576901251248</v>
      </c>
    </row>
    <row r="27" spans="1:10" x14ac:dyDescent="0.2">
      <c r="A27" t="s">
        <v>11</v>
      </c>
      <c r="B27" t="s">
        <v>5</v>
      </c>
      <c r="C27">
        <v>156.89900000000003</v>
      </c>
      <c r="D27">
        <v>156.91400000000002</v>
      </c>
      <c r="E27">
        <v>156.90650000000002</v>
      </c>
      <c r="J27" s="1">
        <v>913.69238545090184</v>
      </c>
    </row>
    <row r="28" spans="1:10" x14ac:dyDescent="0.2">
      <c r="A28" t="s">
        <v>11</v>
      </c>
      <c r="B28" t="s">
        <v>5</v>
      </c>
      <c r="C28">
        <v>156.91500000000002</v>
      </c>
      <c r="D28">
        <v>156.93900000000002</v>
      </c>
      <c r="E28">
        <v>156.92700000000002</v>
      </c>
      <c r="J28" s="1">
        <v>896.00585988279863</v>
      </c>
    </row>
    <row r="29" spans="1:10" x14ac:dyDescent="0.2">
      <c r="A29" t="s">
        <v>11</v>
      </c>
      <c r="B29" t="s">
        <v>5</v>
      </c>
      <c r="C29">
        <v>156.94000000000003</v>
      </c>
      <c r="D29">
        <v>156.96400000000003</v>
      </c>
      <c r="E29">
        <v>156.95200000000003</v>
      </c>
      <c r="J29" s="1">
        <v>805.47451233658978</v>
      </c>
    </row>
    <row r="30" spans="1:10" x14ac:dyDescent="0.2">
      <c r="A30" t="s">
        <v>11</v>
      </c>
      <c r="B30" t="s">
        <v>5</v>
      </c>
      <c r="C30">
        <v>156.965</v>
      </c>
      <c r="D30">
        <v>156.98000000000002</v>
      </c>
      <c r="E30">
        <v>156.97250000000003</v>
      </c>
      <c r="J30" s="1">
        <v>751.76754234764746</v>
      </c>
    </row>
    <row r="31" spans="1:10" x14ac:dyDescent="0.2">
      <c r="A31" t="s">
        <v>11</v>
      </c>
      <c r="B31" t="s">
        <v>5</v>
      </c>
      <c r="C31">
        <v>156.99</v>
      </c>
      <c r="D31">
        <v>157.01400000000001</v>
      </c>
      <c r="E31">
        <v>157.00200000000001</v>
      </c>
      <c r="J31" s="1">
        <v>687.20098795460331</v>
      </c>
    </row>
    <row r="32" spans="1:10" x14ac:dyDescent="0.2">
      <c r="A32" t="s">
        <v>11</v>
      </c>
      <c r="B32" t="s">
        <v>5</v>
      </c>
      <c r="C32">
        <v>157.01400000000001</v>
      </c>
      <c r="D32">
        <v>157.03900000000002</v>
      </c>
      <c r="E32">
        <v>157.0265</v>
      </c>
      <c r="J32" s="1">
        <v>711.56288936566284</v>
      </c>
    </row>
    <row r="33" spans="1:27" x14ac:dyDescent="0.2">
      <c r="A33" t="s">
        <v>11</v>
      </c>
      <c r="B33" t="s">
        <v>5</v>
      </c>
      <c r="C33">
        <v>157.03900000000002</v>
      </c>
      <c r="D33">
        <v>157.04900000000001</v>
      </c>
      <c r="E33">
        <v>157.04400000000001</v>
      </c>
      <c r="J33" s="1">
        <v>743.06784778646261</v>
      </c>
    </row>
    <row r="34" spans="1:27" x14ac:dyDescent="0.2">
      <c r="A34" t="s">
        <v>11</v>
      </c>
      <c r="B34" t="s">
        <v>4</v>
      </c>
      <c r="C34">
        <v>156.79900000000001</v>
      </c>
      <c r="D34">
        <v>156.82900000000001</v>
      </c>
      <c r="E34">
        <f>(C34+D34)/2</f>
        <v>156.81400000000002</v>
      </c>
      <c r="K34" s="1">
        <v>567.53034109412488</v>
      </c>
      <c r="L34" s="2">
        <v>9.305033515712835E-2</v>
      </c>
      <c r="M34">
        <v>-35.9</v>
      </c>
      <c r="N34">
        <v>-285.98</v>
      </c>
      <c r="O34">
        <v>1.18</v>
      </c>
    </row>
    <row r="35" spans="1:27" x14ac:dyDescent="0.2">
      <c r="A35" t="s">
        <v>11</v>
      </c>
      <c r="B35" t="s">
        <v>4</v>
      </c>
      <c r="C35">
        <v>156.83000000000001</v>
      </c>
      <c r="D35">
        <v>156.85900000000001</v>
      </c>
      <c r="E35">
        <f t="shared" ref="E35:E41" si="0">(C35+D35)/2</f>
        <v>156.84450000000001</v>
      </c>
      <c r="K35" s="1">
        <v>541.7870376085981</v>
      </c>
      <c r="L35" s="2">
        <v>0.10142986414336898</v>
      </c>
      <c r="M35">
        <v>-35.270000000000003</v>
      </c>
      <c r="N35">
        <v>-279.61</v>
      </c>
      <c r="O35">
        <v>2.56</v>
      </c>
    </row>
    <row r="36" spans="1:27" x14ac:dyDescent="0.2">
      <c r="A36" t="s">
        <v>11</v>
      </c>
      <c r="B36" t="s">
        <v>4</v>
      </c>
      <c r="C36">
        <v>156.86000000000001</v>
      </c>
      <c r="D36">
        <v>156.88900000000001</v>
      </c>
      <c r="E36">
        <f t="shared" si="0"/>
        <v>156.87450000000001</v>
      </c>
      <c r="K36" s="1">
        <v>544.69363399218207</v>
      </c>
      <c r="L36" s="2">
        <v>0.10408078150319912</v>
      </c>
      <c r="M36">
        <v>-35.32</v>
      </c>
      <c r="N36">
        <v>-279.70999999999998</v>
      </c>
      <c r="O36">
        <v>2.86</v>
      </c>
    </row>
    <row r="37" spans="1:27" x14ac:dyDescent="0.2">
      <c r="A37" t="s">
        <v>11</v>
      </c>
      <c r="B37" t="s">
        <v>4</v>
      </c>
      <c r="C37">
        <v>156.89700000000002</v>
      </c>
      <c r="D37">
        <v>156.91900000000001</v>
      </c>
      <c r="E37">
        <f t="shared" si="0"/>
        <v>156.90800000000002</v>
      </c>
      <c r="K37" s="1">
        <v>570.64606286429944</v>
      </c>
      <c r="L37" s="2">
        <v>0.10197487540962179</v>
      </c>
      <c r="M37">
        <v>-36.15</v>
      </c>
      <c r="N37">
        <v>-287.45</v>
      </c>
      <c r="O37">
        <v>1.76</v>
      </c>
    </row>
    <row r="38" spans="1:27" x14ac:dyDescent="0.2">
      <c r="A38" t="s">
        <v>11</v>
      </c>
      <c r="B38" t="s">
        <v>4</v>
      </c>
      <c r="C38">
        <v>156.91999999999999</v>
      </c>
      <c r="D38">
        <v>156.94900000000001</v>
      </c>
      <c r="E38">
        <f t="shared" si="0"/>
        <v>156.93450000000001</v>
      </c>
      <c r="K38" s="1">
        <v>554.98770044359424</v>
      </c>
      <c r="L38" s="2">
        <v>8.9376775506879905E-2</v>
      </c>
      <c r="M38">
        <v>-36.229999999999997</v>
      </c>
      <c r="N38">
        <v>-287.79000000000002</v>
      </c>
      <c r="O38">
        <v>2.09</v>
      </c>
    </row>
    <row r="39" spans="1:27" x14ac:dyDescent="0.2">
      <c r="A39" t="s">
        <v>11</v>
      </c>
      <c r="B39" t="s">
        <v>4</v>
      </c>
      <c r="C39">
        <v>156.95000000000002</v>
      </c>
      <c r="D39">
        <v>156.97900000000001</v>
      </c>
      <c r="E39">
        <f t="shared" si="0"/>
        <v>156.96450000000002</v>
      </c>
      <c r="K39" s="1">
        <v>532.09055041227077</v>
      </c>
      <c r="L39" s="2">
        <v>0.10579916320348218</v>
      </c>
      <c r="M39">
        <v>-36.76</v>
      </c>
      <c r="N39">
        <v>-293.05</v>
      </c>
      <c r="O39">
        <v>1.04</v>
      </c>
    </row>
    <row r="40" spans="1:27" x14ac:dyDescent="0.2">
      <c r="A40" t="s">
        <v>11</v>
      </c>
      <c r="B40" t="s">
        <v>4</v>
      </c>
      <c r="C40">
        <v>156.98000000000002</v>
      </c>
      <c r="D40">
        <v>157.00900000000001</v>
      </c>
      <c r="E40">
        <f t="shared" si="0"/>
        <v>156.99450000000002</v>
      </c>
      <c r="K40" s="1">
        <v>529.34462553646142</v>
      </c>
      <c r="L40" s="2">
        <v>9.8586253797180265E-2</v>
      </c>
      <c r="M40">
        <v>-36.79</v>
      </c>
      <c r="N40">
        <v>-293.38</v>
      </c>
      <c r="O40">
        <v>0.97</v>
      </c>
    </row>
    <row r="41" spans="1:27" x14ac:dyDescent="0.2">
      <c r="A41" t="s">
        <v>11</v>
      </c>
      <c r="B41" t="s">
        <v>4</v>
      </c>
      <c r="C41">
        <v>157.01700000000002</v>
      </c>
      <c r="D41">
        <v>157.04900000000001</v>
      </c>
      <c r="E41">
        <f t="shared" si="0"/>
        <v>157.03300000000002</v>
      </c>
      <c r="K41" s="1">
        <v>564.33435437120465</v>
      </c>
      <c r="L41" s="2">
        <v>0.10389318490035435</v>
      </c>
      <c r="M41">
        <v>-36.57</v>
      </c>
      <c r="N41">
        <v>-291.25</v>
      </c>
      <c r="O41">
        <v>1.33</v>
      </c>
    </row>
    <row r="42" spans="1:27" x14ac:dyDescent="0.2">
      <c r="A42" t="s">
        <v>9</v>
      </c>
      <c r="B42" s="5" t="s">
        <v>51</v>
      </c>
      <c r="C42">
        <v>155.07249999999999</v>
      </c>
      <c r="D42">
        <f>C42+0.26</f>
        <v>155.33249999999998</v>
      </c>
      <c r="E42">
        <f>(C42+D42)/2</f>
        <v>155.20249999999999</v>
      </c>
      <c r="P42">
        <v>0</v>
      </c>
    </row>
    <row r="43" spans="1:27" x14ac:dyDescent="0.2">
      <c r="A43" t="s">
        <v>9</v>
      </c>
      <c r="B43" s="5" t="s">
        <v>67</v>
      </c>
      <c r="C43">
        <v>155.08949999999999</v>
      </c>
      <c r="D43">
        <v>155.11449999999999</v>
      </c>
      <c r="E43">
        <f>(C43+D43)/2</f>
        <v>155.10199999999998</v>
      </c>
      <c r="Q43">
        <v>6.4000000000000001E-2</v>
      </c>
      <c r="R43">
        <v>0.71440000000000003</v>
      </c>
      <c r="S43">
        <v>0.44869999999999999</v>
      </c>
      <c r="T43">
        <v>0.4587</v>
      </c>
      <c r="U43">
        <v>0.58650000000000002</v>
      </c>
      <c r="V43">
        <v>-30.166899999999998</v>
      </c>
      <c r="W43">
        <v>-19.9116</v>
      </c>
      <c r="X43">
        <v>-9.7906999999999993</v>
      </c>
      <c r="Y43">
        <v>-1.6060000000000001</v>
      </c>
      <c r="Z43">
        <v>0.3881</v>
      </c>
      <c r="AA43" s="6"/>
    </row>
    <row r="44" spans="1:27" x14ac:dyDescent="0.2">
      <c r="A44" t="s">
        <v>9</v>
      </c>
      <c r="B44" s="5" t="s">
        <v>68</v>
      </c>
      <c r="C44">
        <v>155.11449999999999</v>
      </c>
      <c r="D44">
        <v>155.1395</v>
      </c>
      <c r="E44">
        <f t="shared" ref="E44:E49" si="1">(C44+D44)/2</f>
        <v>155.12700000000001</v>
      </c>
      <c r="Q44">
        <v>6.3600000000000004E-2</v>
      </c>
      <c r="R44">
        <v>0.67859999999999998</v>
      </c>
      <c r="S44">
        <v>0.44</v>
      </c>
      <c r="T44">
        <v>0.46429999999999999</v>
      </c>
      <c r="U44">
        <v>0.5514</v>
      </c>
      <c r="V44">
        <v>-31.575299999999999</v>
      </c>
      <c r="W44">
        <v>-21.545400000000001</v>
      </c>
      <c r="X44">
        <v>-9.5457999999999998</v>
      </c>
      <c r="Y44">
        <v>-2.0933000000000002</v>
      </c>
      <c r="Z44">
        <v>0.33239999999999997</v>
      </c>
      <c r="AA44" s="6"/>
    </row>
    <row r="45" spans="1:27" x14ac:dyDescent="0.2">
      <c r="A45" t="s">
        <v>9</v>
      </c>
      <c r="B45" s="5" t="s">
        <v>69</v>
      </c>
      <c r="C45">
        <v>155.1395</v>
      </c>
      <c r="D45">
        <v>155.16249999999999</v>
      </c>
      <c r="E45">
        <f t="shared" si="1"/>
        <v>155.15100000000001</v>
      </c>
      <c r="Q45">
        <v>6.4899999999999999E-2</v>
      </c>
      <c r="R45">
        <v>0.64449999999999996</v>
      </c>
      <c r="S45">
        <v>0.44030000000000002</v>
      </c>
      <c r="T45">
        <v>0.4254</v>
      </c>
      <c r="U45">
        <v>0.51480000000000004</v>
      </c>
      <c r="V45">
        <v>-27.553699999999999</v>
      </c>
      <c r="W45">
        <v>-19.6982</v>
      </c>
      <c r="X45">
        <v>-7.3973000000000004</v>
      </c>
      <c r="Y45">
        <v>-1.6769000000000001</v>
      </c>
      <c r="Z45">
        <v>0.3105</v>
      </c>
      <c r="AA45" s="6"/>
    </row>
    <row r="46" spans="1:27" x14ac:dyDescent="0.2">
      <c r="A46" t="s">
        <v>9</v>
      </c>
      <c r="B46" s="5" t="s">
        <v>70</v>
      </c>
      <c r="C46">
        <v>155.17749999999998</v>
      </c>
      <c r="D46">
        <v>155.20749999999998</v>
      </c>
      <c r="E46">
        <f t="shared" si="1"/>
        <v>155.1925</v>
      </c>
      <c r="Q46">
        <v>6.0499999999999998E-2</v>
      </c>
      <c r="R46">
        <v>0.62739999999999996</v>
      </c>
      <c r="S46">
        <v>0.4178</v>
      </c>
      <c r="T46">
        <v>0.45779999999999998</v>
      </c>
      <c r="U46">
        <v>0.50629999999999997</v>
      </c>
      <c r="V46">
        <v>-34.302700000000002</v>
      </c>
      <c r="W46">
        <v>-23.440200000000001</v>
      </c>
      <c r="X46">
        <v>-10.355700000000001</v>
      </c>
      <c r="Y46">
        <v>-3.5758999999999999</v>
      </c>
      <c r="Z46">
        <v>0.26700000000000002</v>
      </c>
      <c r="AA46" s="6"/>
    </row>
    <row r="47" spans="1:27" x14ac:dyDescent="0.2">
      <c r="A47" t="s">
        <v>9</v>
      </c>
      <c r="B47" s="5" t="s">
        <v>71</v>
      </c>
      <c r="C47">
        <v>155.20749999999998</v>
      </c>
      <c r="D47">
        <v>155.23650000000001</v>
      </c>
      <c r="E47">
        <f t="shared" si="1"/>
        <v>155.22199999999998</v>
      </c>
      <c r="Q47">
        <v>5.5899999999999998E-2</v>
      </c>
      <c r="R47">
        <v>0.60870000000000002</v>
      </c>
      <c r="S47">
        <v>0.42909999999999998</v>
      </c>
      <c r="T47">
        <v>0.45429999999999998</v>
      </c>
      <c r="U47">
        <v>0.49680000000000002</v>
      </c>
      <c r="V47">
        <v>-31.6357</v>
      </c>
      <c r="W47">
        <v>-22.866900000000001</v>
      </c>
      <c r="X47">
        <v>-8.2670999999999992</v>
      </c>
      <c r="Y47">
        <v>-3.0928</v>
      </c>
      <c r="Z47">
        <v>0.25619999999999998</v>
      </c>
      <c r="AA47" s="6"/>
    </row>
    <row r="48" spans="1:27" x14ac:dyDescent="0.2">
      <c r="A48" t="s">
        <v>9</v>
      </c>
      <c r="B48" s="5" t="s">
        <v>72</v>
      </c>
      <c r="C48">
        <v>155.26349999999999</v>
      </c>
      <c r="D48">
        <v>155.29249999999999</v>
      </c>
      <c r="E48">
        <f t="shared" si="1"/>
        <v>155.27799999999999</v>
      </c>
      <c r="Q48">
        <v>5.7500000000000002E-2</v>
      </c>
      <c r="R48">
        <v>0.64359999999999995</v>
      </c>
      <c r="S48">
        <v>0.44850000000000001</v>
      </c>
      <c r="T48">
        <v>0.4995</v>
      </c>
      <c r="U48">
        <v>0.52859999999999996</v>
      </c>
      <c r="V48">
        <v>-34.093899999999998</v>
      </c>
      <c r="W48">
        <v>-23.976800000000001</v>
      </c>
      <c r="X48">
        <v>-9.6029</v>
      </c>
      <c r="Y48">
        <v>-5.0655000000000001</v>
      </c>
      <c r="Z48">
        <v>0.2797</v>
      </c>
      <c r="AA48" s="6"/>
    </row>
    <row r="49" spans="1:27" x14ac:dyDescent="0.2">
      <c r="A49" t="s">
        <v>9</v>
      </c>
      <c r="B49" s="5" t="s">
        <v>73</v>
      </c>
      <c r="C49">
        <v>155.29249999999999</v>
      </c>
      <c r="D49">
        <v>155.32249999999999</v>
      </c>
      <c r="E49">
        <f t="shared" si="1"/>
        <v>155.3075</v>
      </c>
      <c r="Q49">
        <v>6.6699999999999995E-2</v>
      </c>
      <c r="R49">
        <v>0.64970000000000006</v>
      </c>
      <c r="S49">
        <v>0.45069999999999999</v>
      </c>
      <c r="T49">
        <v>0.53210000000000002</v>
      </c>
      <c r="U49">
        <v>0.51629999999999998</v>
      </c>
      <c r="V49">
        <v>-34.400799999999997</v>
      </c>
      <c r="W49">
        <v>-24.283000000000001</v>
      </c>
      <c r="X49">
        <v>-9.6004000000000005</v>
      </c>
      <c r="Y49">
        <v>-5.5232999999999999</v>
      </c>
      <c r="Z49">
        <v>0.26500000000000001</v>
      </c>
      <c r="AA49" s="6"/>
    </row>
  </sheetData>
  <phoneticPr fontId="1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C9996-0E34-9A42-84FB-8FC0301D0367}">
  <dimension ref="A4:I24"/>
  <sheetViews>
    <sheetView workbookViewId="0">
      <selection activeCell="H6" sqref="H6:I12"/>
    </sheetView>
  </sheetViews>
  <sheetFormatPr baseColWidth="10" defaultRowHeight="16" x14ac:dyDescent="0.2"/>
  <sheetData>
    <row r="4" spans="1:9" x14ac:dyDescent="0.2">
      <c r="B4" t="s">
        <v>52</v>
      </c>
      <c r="C4" s="6">
        <v>155.07249999999999</v>
      </c>
    </row>
    <row r="5" spans="1:9" x14ac:dyDescent="0.2">
      <c r="H5" t="s">
        <v>27</v>
      </c>
      <c r="I5" t="s">
        <v>28</v>
      </c>
    </row>
    <row r="6" spans="1:9" x14ac:dyDescent="0.2">
      <c r="E6" s="5">
        <v>155.08199999999999</v>
      </c>
      <c r="F6" s="5">
        <v>155.107</v>
      </c>
      <c r="H6">
        <f>E6-155.065+155.0725</f>
        <v>155.08949999999999</v>
      </c>
      <c r="I6">
        <f>F6-155.065+155.0725</f>
        <v>155.11449999999999</v>
      </c>
    </row>
    <row r="7" spans="1:9" x14ac:dyDescent="0.2">
      <c r="A7" t="s">
        <v>53</v>
      </c>
      <c r="E7" s="5">
        <v>155.107</v>
      </c>
      <c r="F7" s="5">
        <v>155.13200000000001</v>
      </c>
      <c r="H7">
        <f t="shared" ref="H7:I12" si="0">E7-155.065+155.0725</f>
        <v>155.11449999999999</v>
      </c>
      <c r="I7">
        <f t="shared" si="0"/>
        <v>155.1395</v>
      </c>
    </row>
    <row r="8" spans="1:9" x14ac:dyDescent="0.2">
      <c r="A8" t="s">
        <v>54</v>
      </c>
      <c r="B8" t="s">
        <v>56</v>
      </c>
      <c r="E8" s="5">
        <v>155.13200000000001</v>
      </c>
      <c r="F8" s="5">
        <v>155.155</v>
      </c>
      <c r="H8">
        <f t="shared" si="0"/>
        <v>155.1395</v>
      </c>
      <c r="I8">
        <f t="shared" si="0"/>
        <v>155.16249999999999</v>
      </c>
    </row>
    <row r="9" spans="1:9" x14ac:dyDescent="0.2">
      <c r="A9">
        <v>1</v>
      </c>
      <c r="B9">
        <v>1.7</v>
      </c>
      <c r="E9" s="5">
        <v>155.16999999999999</v>
      </c>
      <c r="F9" s="5">
        <v>155.19999999999999</v>
      </c>
      <c r="H9">
        <f t="shared" si="0"/>
        <v>155.17749999999998</v>
      </c>
      <c r="I9">
        <f t="shared" si="0"/>
        <v>155.20749999999998</v>
      </c>
    </row>
    <row r="10" spans="1:9" x14ac:dyDescent="0.2">
      <c r="A10">
        <v>2</v>
      </c>
      <c r="B10">
        <v>2.5</v>
      </c>
      <c r="E10" s="5">
        <v>155.19999999999999</v>
      </c>
      <c r="F10" s="5">
        <v>155.22900000000001</v>
      </c>
      <c r="H10">
        <f t="shared" si="0"/>
        <v>155.20749999999998</v>
      </c>
      <c r="I10">
        <f t="shared" si="0"/>
        <v>155.23650000000001</v>
      </c>
    </row>
    <row r="11" spans="1:9" x14ac:dyDescent="0.2">
      <c r="A11">
        <v>3</v>
      </c>
      <c r="B11">
        <v>2.5</v>
      </c>
      <c r="E11" s="5">
        <v>155.256</v>
      </c>
      <c r="F11" s="5">
        <v>155.285</v>
      </c>
      <c r="H11">
        <f t="shared" si="0"/>
        <v>155.26349999999999</v>
      </c>
      <c r="I11">
        <f t="shared" si="0"/>
        <v>155.29249999999999</v>
      </c>
    </row>
    <row r="12" spans="1:9" x14ac:dyDescent="0.2">
      <c r="A12" t="s">
        <v>54</v>
      </c>
      <c r="B12">
        <v>1.5</v>
      </c>
      <c r="E12" s="5">
        <v>155.285</v>
      </c>
      <c r="F12" s="5">
        <v>155.315</v>
      </c>
      <c r="H12">
        <f t="shared" si="0"/>
        <v>155.29249999999999</v>
      </c>
      <c r="I12">
        <f t="shared" si="0"/>
        <v>155.32249999999999</v>
      </c>
    </row>
    <row r="13" spans="1:9" x14ac:dyDescent="0.2">
      <c r="A13">
        <v>4</v>
      </c>
      <c r="B13">
        <v>3</v>
      </c>
    </row>
    <row r="14" spans="1:9" x14ac:dyDescent="0.2">
      <c r="A14">
        <v>5</v>
      </c>
      <c r="B14">
        <v>2.9</v>
      </c>
    </row>
    <row r="15" spans="1:9" x14ac:dyDescent="0.2">
      <c r="A15" t="s">
        <v>54</v>
      </c>
      <c r="B15">
        <v>2.7</v>
      </c>
    </row>
    <row r="16" spans="1:9" x14ac:dyDescent="0.2">
      <c r="A16">
        <v>6</v>
      </c>
      <c r="B16">
        <v>2.9</v>
      </c>
    </row>
    <row r="17" spans="1:2" x14ac:dyDescent="0.2">
      <c r="A17">
        <v>7</v>
      </c>
      <c r="B17">
        <v>3</v>
      </c>
    </row>
    <row r="18" spans="1:2" x14ac:dyDescent="0.2">
      <c r="A18" t="s">
        <v>55</v>
      </c>
    </row>
    <row r="24" spans="1:2" x14ac:dyDescent="0.2">
      <c r="B24">
        <f>SUM(B9:B17)</f>
        <v>22.7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36881-0611-A543-91F5-CA8955EF1326}">
  <dimension ref="A1:V13"/>
  <sheetViews>
    <sheetView topLeftCell="G1" zoomScale="97" workbookViewId="0">
      <selection activeCell="T2" sqref="T2:T10"/>
    </sheetView>
  </sheetViews>
  <sheetFormatPr baseColWidth="10" defaultRowHeight="16" x14ac:dyDescent="0.2"/>
  <cols>
    <col min="6" max="6" width="20.6640625" customWidth="1"/>
    <col min="7" max="7" width="18.83203125" customWidth="1"/>
    <col min="8" max="8" width="25.33203125" customWidth="1"/>
    <col min="9" max="9" width="28.83203125" customWidth="1"/>
  </cols>
  <sheetData>
    <row r="1" spans="1:22" x14ac:dyDescent="0.2">
      <c r="A1" t="s">
        <v>0</v>
      </c>
      <c r="B1" t="s">
        <v>1</v>
      </c>
      <c r="C1" t="s">
        <v>8</v>
      </c>
      <c r="D1" t="s">
        <v>7</v>
      </c>
      <c r="E1" t="s">
        <v>6</v>
      </c>
      <c r="F1" t="s">
        <v>43</v>
      </c>
      <c r="G1" t="s">
        <v>44</v>
      </c>
      <c r="H1" t="s">
        <v>45</v>
      </c>
      <c r="I1" t="s">
        <v>46</v>
      </c>
      <c r="N1" t="s">
        <v>43</v>
      </c>
      <c r="O1" t="s">
        <v>44</v>
      </c>
      <c r="P1" t="s">
        <v>45</v>
      </c>
      <c r="Q1" t="s">
        <v>46</v>
      </c>
      <c r="R1" t="s">
        <v>26</v>
      </c>
      <c r="S1" t="s">
        <v>48</v>
      </c>
      <c r="T1" t="s">
        <v>47</v>
      </c>
      <c r="U1" t="s">
        <v>49</v>
      </c>
      <c r="V1" t="s">
        <v>50</v>
      </c>
    </row>
    <row r="2" spans="1:22" x14ac:dyDescent="0.2">
      <c r="A2" t="s">
        <v>9</v>
      </c>
      <c r="B2" t="s">
        <v>2</v>
      </c>
      <c r="C2">
        <v>155.07249999999999</v>
      </c>
      <c r="D2">
        <v>155.1</v>
      </c>
      <c r="E2">
        <v>155.08625000000001</v>
      </c>
      <c r="F2">
        <f>C2-(K2-J2)/200</f>
        <v>155.078</v>
      </c>
      <c r="G2">
        <f>C2+(K2-J2)/200</f>
        <v>155.06699999999998</v>
      </c>
      <c r="H2">
        <f>C2-(L2-M2)/200</f>
        <v>155.08199999999999</v>
      </c>
      <c r="I2">
        <f>D2+(M2-N2)/200</f>
        <v>154.34905749999999</v>
      </c>
      <c r="J2" s="4">
        <v>1.6</v>
      </c>
      <c r="K2" s="4">
        <v>0.5</v>
      </c>
      <c r="L2" s="4">
        <v>3</v>
      </c>
      <c r="M2" s="4">
        <v>4.9000000000000004</v>
      </c>
      <c r="N2">
        <f>$C$2+J2/100</f>
        <v>155.08849999999998</v>
      </c>
      <c r="O2">
        <f t="shared" ref="O2:Q2" si="0">$C$2+K2/100</f>
        <v>155.07749999999999</v>
      </c>
      <c r="P2">
        <f t="shared" si="0"/>
        <v>155.10249999999999</v>
      </c>
      <c r="Q2">
        <f t="shared" si="0"/>
        <v>155.1215</v>
      </c>
      <c r="R2">
        <f>N2-O2</f>
        <v>1.099999999999568E-2</v>
      </c>
      <c r="S2">
        <f>O2+0.015</f>
        <v>155.09249999999997</v>
      </c>
      <c r="T2">
        <f>Q2+0.015</f>
        <v>155.13649999999998</v>
      </c>
      <c r="U2">
        <f>N2-S2</f>
        <v>-3.9999999999906777E-3</v>
      </c>
      <c r="V2">
        <f>P2-T2</f>
        <v>-3.3999999999991815E-2</v>
      </c>
    </row>
    <row r="3" spans="1:22" x14ac:dyDescent="0.2">
      <c r="A3" t="s">
        <v>9</v>
      </c>
      <c r="B3" t="s">
        <v>2</v>
      </c>
      <c r="C3">
        <v>155.1</v>
      </c>
      <c r="D3">
        <v>155.125</v>
      </c>
      <c r="E3">
        <v>155.11250000000001</v>
      </c>
      <c r="F3">
        <f t="shared" ref="F3:F10" si="1">C3-(K3-J3)/200</f>
        <v>155.09049999999999</v>
      </c>
      <c r="G3">
        <f t="shared" ref="G3:G10" si="2">C3+(K3-J3)/200</f>
        <v>155.1095</v>
      </c>
      <c r="H3">
        <f t="shared" ref="H3:H10" si="3">C3-(L3-M3)/200</f>
        <v>155.11249999999998</v>
      </c>
      <c r="I3">
        <f t="shared" ref="I3:I10" si="4">D3+(M3-N3)/200</f>
        <v>154.3894875</v>
      </c>
      <c r="J3" s="4">
        <v>3</v>
      </c>
      <c r="K3" s="4">
        <v>4.9000000000000004</v>
      </c>
      <c r="L3" s="4">
        <v>5.5</v>
      </c>
      <c r="M3" s="4">
        <v>8</v>
      </c>
      <c r="N3">
        <f t="shared" ref="N3:N10" si="5">$C$2+J3/100</f>
        <v>155.10249999999999</v>
      </c>
      <c r="O3">
        <f t="shared" ref="O3:O10" si="6">$C$2+K3/100</f>
        <v>155.1215</v>
      </c>
      <c r="P3">
        <f t="shared" ref="P3:P10" si="7">$C$2+L3/100</f>
        <v>155.1275</v>
      </c>
      <c r="Q3">
        <f t="shared" ref="Q3:Q10" si="8">$C$2+M3/100</f>
        <v>155.1525</v>
      </c>
      <c r="R3">
        <f t="shared" ref="R3:R10" si="9">N3-O3</f>
        <v>-1.9000000000005457E-2</v>
      </c>
      <c r="S3">
        <f t="shared" ref="S3:S10" si="10">O3+0.015</f>
        <v>155.13649999999998</v>
      </c>
      <c r="T3">
        <f t="shared" ref="T3:T10" si="11">Q3+0.015</f>
        <v>155.16749999999999</v>
      </c>
      <c r="U3">
        <f t="shared" ref="U3:U10" si="12">N3-S3</f>
        <v>-3.3999999999991815E-2</v>
      </c>
      <c r="V3">
        <f t="shared" ref="V3:V10" si="13">P3-T3</f>
        <v>-3.9999999999992042E-2</v>
      </c>
    </row>
    <row r="4" spans="1:22" x14ac:dyDescent="0.2">
      <c r="A4" t="s">
        <v>9</v>
      </c>
      <c r="B4" t="s">
        <v>2</v>
      </c>
      <c r="C4">
        <v>155.125</v>
      </c>
      <c r="D4">
        <v>155.15</v>
      </c>
      <c r="E4">
        <v>155.13749999999999</v>
      </c>
      <c r="F4">
        <f t="shared" si="1"/>
        <v>155.11250000000001</v>
      </c>
      <c r="G4">
        <f t="shared" si="2"/>
        <v>155.13749999999999</v>
      </c>
      <c r="H4">
        <f t="shared" si="3"/>
        <v>155.1345</v>
      </c>
      <c r="I4">
        <f t="shared" si="4"/>
        <v>154.42636250000001</v>
      </c>
      <c r="J4" s="4">
        <v>5.5</v>
      </c>
      <c r="K4" s="4">
        <v>8</v>
      </c>
      <c r="L4" s="4">
        <v>8.5</v>
      </c>
      <c r="M4" s="4">
        <v>10.4</v>
      </c>
      <c r="N4">
        <f t="shared" si="5"/>
        <v>155.1275</v>
      </c>
      <c r="O4">
        <f t="shared" si="6"/>
        <v>155.1525</v>
      </c>
      <c r="P4">
        <f t="shared" si="7"/>
        <v>155.1575</v>
      </c>
      <c r="Q4">
        <f t="shared" si="8"/>
        <v>155.1765</v>
      </c>
      <c r="R4">
        <f t="shared" si="9"/>
        <v>-2.5000000000005684E-2</v>
      </c>
      <c r="S4">
        <f t="shared" si="10"/>
        <v>155.16749999999999</v>
      </c>
      <c r="T4">
        <f t="shared" si="11"/>
        <v>155.19149999999999</v>
      </c>
      <c r="U4">
        <f t="shared" si="12"/>
        <v>-3.9999999999992042E-2</v>
      </c>
      <c r="V4">
        <f t="shared" si="13"/>
        <v>-3.3999999999991815E-2</v>
      </c>
    </row>
    <row r="5" spans="1:22" x14ac:dyDescent="0.2">
      <c r="A5" t="s">
        <v>9</v>
      </c>
      <c r="B5" t="s">
        <v>2</v>
      </c>
      <c r="C5">
        <v>155.15</v>
      </c>
      <c r="D5">
        <v>155.17500000000001</v>
      </c>
      <c r="E5">
        <v>155.16249999999999</v>
      </c>
      <c r="F5">
        <f t="shared" si="1"/>
        <v>155.1405</v>
      </c>
      <c r="G5">
        <f t="shared" si="2"/>
        <v>155.15950000000001</v>
      </c>
      <c r="H5">
        <f t="shared" si="3"/>
        <v>155.16150000000002</v>
      </c>
      <c r="I5">
        <f t="shared" si="4"/>
        <v>154.4642125</v>
      </c>
      <c r="J5" s="4">
        <v>8.5</v>
      </c>
      <c r="K5" s="4">
        <v>10.4</v>
      </c>
      <c r="L5" s="4">
        <v>10.7</v>
      </c>
      <c r="M5" s="4">
        <v>13</v>
      </c>
      <c r="N5">
        <f t="shared" si="5"/>
        <v>155.1575</v>
      </c>
      <c r="O5">
        <f t="shared" si="6"/>
        <v>155.1765</v>
      </c>
      <c r="P5">
        <f t="shared" si="7"/>
        <v>155.17949999999999</v>
      </c>
      <c r="Q5">
        <f t="shared" si="8"/>
        <v>155.20249999999999</v>
      </c>
      <c r="R5">
        <f t="shared" si="9"/>
        <v>-1.9000000000005457E-2</v>
      </c>
      <c r="S5">
        <f t="shared" si="10"/>
        <v>155.19149999999999</v>
      </c>
      <c r="T5">
        <f t="shared" si="11"/>
        <v>155.21749999999997</v>
      </c>
      <c r="U5">
        <f t="shared" si="12"/>
        <v>-3.3999999999991815E-2</v>
      </c>
      <c r="V5">
        <f t="shared" si="13"/>
        <v>-3.7999999999982492E-2</v>
      </c>
    </row>
    <row r="6" spans="1:22" x14ac:dyDescent="0.2">
      <c r="A6" t="s">
        <v>9</v>
      </c>
      <c r="B6" t="s">
        <v>2</v>
      </c>
      <c r="C6">
        <v>155.17500000000001</v>
      </c>
      <c r="D6">
        <v>155.19999999999999</v>
      </c>
      <c r="E6">
        <v>155.1875</v>
      </c>
      <c r="F6">
        <f t="shared" si="1"/>
        <v>155.1635</v>
      </c>
      <c r="G6">
        <f t="shared" si="2"/>
        <v>155.18650000000002</v>
      </c>
      <c r="H6">
        <f t="shared" si="3"/>
        <v>155.18650000000002</v>
      </c>
      <c r="I6">
        <f t="shared" si="4"/>
        <v>154.50160249999999</v>
      </c>
      <c r="J6" s="4">
        <v>10.7</v>
      </c>
      <c r="K6" s="4">
        <v>13</v>
      </c>
      <c r="L6" s="4">
        <v>13.2</v>
      </c>
      <c r="M6" s="4">
        <v>15.5</v>
      </c>
      <c r="N6">
        <f t="shared" si="5"/>
        <v>155.17949999999999</v>
      </c>
      <c r="O6">
        <f t="shared" si="6"/>
        <v>155.20249999999999</v>
      </c>
      <c r="P6">
        <f t="shared" si="7"/>
        <v>155.2045</v>
      </c>
      <c r="Q6">
        <f t="shared" si="8"/>
        <v>155.22749999999999</v>
      </c>
      <c r="R6">
        <f t="shared" si="9"/>
        <v>-2.2999999999996135E-2</v>
      </c>
      <c r="S6">
        <f t="shared" si="10"/>
        <v>155.21749999999997</v>
      </c>
      <c r="T6">
        <f t="shared" si="11"/>
        <v>155.24249999999998</v>
      </c>
      <c r="U6">
        <f t="shared" si="12"/>
        <v>-3.7999999999982492E-2</v>
      </c>
      <c r="V6">
        <f t="shared" si="13"/>
        <v>-3.7999999999982492E-2</v>
      </c>
    </row>
    <row r="7" spans="1:22" x14ac:dyDescent="0.2">
      <c r="A7" t="s">
        <v>9</v>
      </c>
      <c r="B7" t="s">
        <v>2</v>
      </c>
      <c r="C7">
        <v>155.19999999999999</v>
      </c>
      <c r="D7">
        <v>155.22749999999999</v>
      </c>
      <c r="E7">
        <v>155.21375</v>
      </c>
      <c r="F7">
        <f t="shared" si="1"/>
        <v>155.18849999999998</v>
      </c>
      <c r="G7">
        <f t="shared" si="2"/>
        <v>155.2115</v>
      </c>
      <c r="H7">
        <f t="shared" si="3"/>
        <v>155.208</v>
      </c>
      <c r="I7">
        <f t="shared" si="4"/>
        <v>154.54347749999999</v>
      </c>
      <c r="J7" s="4">
        <v>13.2</v>
      </c>
      <c r="K7" s="4">
        <v>15.5</v>
      </c>
      <c r="L7" s="4">
        <v>16.8</v>
      </c>
      <c r="M7" s="4">
        <v>18.399999999999999</v>
      </c>
      <c r="N7">
        <f t="shared" si="5"/>
        <v>155.2045</v>
      </c>
      <c r="O7">
        <f t="shared" si="6"/>
        <v>155.22749999999999</v>
      </c>
      <c r="P7">
        <f t="shared" si="7"/>
        <v>155.2405</v>
      </c>
      <c r="Q7">
        <f t="shared" si="8"/>
        <v>155.25649999999999</v>
      </c>
      <c r="R7">
        <f t="shared" si="9"/>
        <v>-2.2999999999996135E-2</v>
      </c>
      <c r="S7">
        <f t="shared" si="10"/>
        <v>155.24249999999998</v>
      </c>
      <c r="T7">
        <f t="shared" si="11"/>
        <v>155.27149999999997</v>
      </c>
      <c r="U7">
        <f t="shared" si="12"/>
        <v>-3.7999999999982492E-2</v>
      </c>
      <c r="V7">
        <f t="shared" si="13"/>
        <v>-3.099999999997749E-2</v>
      </c>
    </row>
    <row r="8" spans="1:22" x14ac:dyDescent="0.2">
      <c r="A8" t="s">
        <v>9</v>
      </c>
      <c r="B8" t="s">
        <v>2</v>
      </c>
      <c r="C8">
        <v>155.22749999999999</v>
      </c>
      <c r="D8">
        <v>155.27000000000001</v>
      </c>
      <c r="E8">
        <v>155.24875</v>
      </c>
      <c r="F8">
        <f t="shared" si="1"/>
        <v>155.21949999999998</v>
      </c>
      <c r="G8">
        <f t="shared" si="2"/>
        <v>155.2355</v>
      </c>
      <c r="H8">
        <f t="shared" si="3"/>
        <v>155.239</v>
      </c>
      <c r="I8">
        <f t="shared" si="4"/>
        <v>154.60129750000002</v>
      </c>
      <c r="J8" s="4">
        <v>16.8</v>
      </c>
      <c r="K8" s="4">
        <v>18.399999999999999</v>
      </c>
      <c r="L8" s="4">
        <v>19.2</v>
      </c>
      <c r="M8" s="4">
        <v>21.5</v>
      </c>
      <c r="N8">
        <f t="shared" si="5"/>
        <v>155.2405</v>
      </c>
      <c r="O8">
        <f t="shared" si="6"/>
        <v>155.25649999999999</v>
      </c>
      <c r="P8">
        <f t="shared" si="7"/>
        <v>155.2645</v>
      </c>
      <c r="Q8">
        <f t="shared" si="8"/>
        <v>155.28749999999999</v>
      </c>
      <c r="R8">
        <f t="shared" si="9"/>
        <v>-1.5999999999991132E-2</v>
      </c>
      <c r="S8">
        <f t="shared" si="10"/>
        <v>155.27149999999997</v>
      </c>
      <c r="T8">
        <f t="shared" si="11"/>
        <v>155.30249999999998</v>
      </c>
      <c r="U8">
        <f t="shared" si="12"/>
        <v>-3.099999999997749E-2</v>
      </c>
      <c r="V8">
        <f t="shared" si="13"/>
        <v>-3.7999999999982492E-2</v>
      </c>
    </row>
    <row r="9" spans="1:22" x14ac:dyDescent="0.2">
      <c r="A9" t="s">
        <v>9</v>
      </c>
      <c r="B9" t="s">
        <v>2</v>
      </c>
      <c r="C9">
        <v>155.27000000000001</v>
      </c>
      <c r="D9">
        <v>155.29499999999999</v>
      </c>
      <c r="E9">
        <v>155.2825</v>
      </c>
      <c r="F9">
        <f t="shared" si="1"/>
        <v>155.2585</v>
      </c>
      <c r="G9">
        <f t="shared" si="2"/>
        <v>155.28150000000002</v>
      </c>
      <c r="H9">
        <f t="shared" si="3"/>
        <v>155.28150000000002</v>
      </c>
      <c r="I9">
        <f t="shared" si="4"/>
        <v>154.6386775</v>
      </c>
      <c r="J9" s="4">
        <v>19.2</v>
      </c>
      <c r="K9" s="4">
        <v>21.5</v>
      </c>
      <c r="L9" s="4">
        <v>21.7</v>
      </c>
      <c r="M9" s="4">
        <v>24</v>
      </c>
      <c r="N9">
        <f t="shared" si="5"/>
        <v>155.2645</v>
      </c>
      <c r="O9">
        <f t="shared" si="6"/>
        <v>155.28749999999999</v>
      </c>
      <c r="P9">
        <f t="shared" si="7"/>
        <v>155.2895</v>
      </c>
      <c r="Q9">
        <f t="shared" si="8"/>
        <v>155.3125</v>
      </c>
      <c r="R9">
        <f t="shared" si="9"/>
        <v>-2.2999999999996135E-2</v>
      </c>
      <c r="S9">
        <f t="shared" si="10"/>
        <v>155.30249999999998</v>
      </c>
      <c r="T9">
        <f t="shared" si="11"/>
        <v>155.32749999999999</v>
      </c>
      <c r="U9">
        <f t="shared" si="12"/>
        <v>-3.7999999999982492E-2</v>
      </c>
      <c r="V9">
        <f t="shared" si="13"/>
        <v>-3.7999999999982492E-2</v>
      </c>
    </row>
    <row r="10" spans="1:22" x14ac:dyDescent="0.2">
      <c r="A10" t="s">
        <v>9</v>
      </c>
      <c r="B10" t="s">
        <v>2</v>
      </c>
      <c r="C10">
        <v>155.29499999999999</v>
      </c>
      <c r="D10">
        <v>155.32</v>
      </c>
      <c r="E10">
        <v>155.3075</v>
      </c>
      <c r="F10">
        <f t="shared" si="1"/>
        <v>155.28349999999998</v>
      </c>
      <c r="G10">
        <f t="shared" si="2"/>
        <v>155.3065</v>
      </c>
      <c r="H10">
        <f t="shared" si="3"/>
        <v>155.28749999999999</v>
      </c>
      <c r="I10">
        <f t="shared" si="4"/>
        <v>154.66605250000001</v>
      </c>
      <c r="J10" s="4">
        <v>21.7</v>
      </c>
      <c r="K10" s="4">
        <v>24</v>
      </c>
      <c r="L10" s="4">
        <v>26</v>
      </c>
      <c r="M10" s="4">
        <v>24.5</v>
      </c>
      <c r="N10">
        <f t="shared" si="5"/>
        <v>155.2895</v>
      </c>
      <c r="O10">
        <f t="shared" si="6"/>
        <v>155.3125</v>
      </c>
      <c r="P10">
        <f t="shared" si="7"/>
        <v>155.33249999999998</v>
      </c>
      <c r="Q10">
        <f t="shared" si="8"/>
        <v>155.3175</v>
      </c>
      <c r="R10">
        <f t="shared" si="9"/>
        <v>-2.2999999999996135E-2</v>
      </c>
      <c r="S10">
        <f t="shared" si="10"/>
        <v>155.32749999999999</v>
      </c>
      <c r="T10">
        <f t="shared" si="11"/>
        <v>155.33249999999998</v>
      </c>
      <c r="U10">
        <f t="shared" si="12"/>
        <v>-3.7999999999982492E-2</v>
      </c>
      <c r="V10">
        <f t="shared" si="13"/>
        <v>0</v>
      </c>
    </row>
    <row r="13" spans="1:22" x14ac:dyDescent="0.2">
      <c r="U13">
        <f>0.53-0.38</f>
        <v>0.15000000000000002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097D0-02F0-D541-A913-186C44744D3E}">
  <dimension ref="A2:P32"/>
  <sheetViews>
    <sheetView workbookViewId="0">
      <selection activeCell="E6" sqref="E6"/>
    </sheetView>
  </sheetViews>
  <sheetFormatPr baseColWidth="10" defaultRowHeight="16" x14ac:dyDescent="0.2"/>
  <sheetData>
    <row r="2" spans="1:16" x14ac:dyDescent="0.2">
      <c r="A2" t="s">
        <v>12</v>
      </c>
    </row>
    <row r="4" spans="1:16" x14ac:dyDescent="0.2">
      <c r="B4" t="s">
        <v>24</v>
      </c>
      <c r="D4" t="s">
        <v>8</v>
      </c>
      <c r="E4" t="s">
        <v>7</v>
      </c>
      <c r="F4" t="s">
        <v>6</v>
      </c>
      <c r="G4" t="s">
        <v>41</v>
      </c>
      <c r="H4" t="s">
        <v>42</v>
      </c>
    </row>
    <row r="5" spans="1:16" x14ac:dyDescent="0.2">
      <c r="B5">
        <v>0</v>
      </c>
      <c r="C5">
        <v>25</v>
      </c>
      <c r="D5">
        <f>B5/1000+$B$22+$C$22/1000</f>
        <v>156.78900000000002</v>
      </c>
      <c r="E5">
        <f>C5/1000+$B$22+$C$22/1000</f>
        <v>156.81400000000002</v>
      </c>
      <c r="F5">
        <f>(D5+E5)/2</f>
        <v>156.80150000000003</v>
      </c>
    </row>
    <row r="6" spans="1:16" x14ac:dyDescent="0.2">
      <c r="B6">
        <v>26</v>
      </c>
      <c r="C6">
        <v>50</v>
      </c>
      <c r="D6">
        <f t="shared" ref="D6:D15" si="0">B6/1000+$B$22+$C$22/1000</f>
        <v>156.81500000000003</v>
      </c>
      <c r="E6">
        <f t="shared" ref="E6:E15" si="1">C6/1000+$B$22+$C$22/1000</f>
        <v>156.83900000000003</v>
      </c>
      <c r="F6">
        <f t="shared" ref="F6:F15" si="2">(D6+E6)/2</f>
        <v>156.82700000000003</v>
      </c>
    </row>
    <row r="7" spans="1:16" x14ac:dyDescent="0.2">
      <c r="B7">
        <v>50</v>
      </c>
      <c r="C7">
        <v>74</v>
      </c>
      <c r="D7">
        <f t="shared" si="0"/>
        <v>156.83900000000003</v>
      </c>
      <c r="E7">
        <f t="shared" si="1"/>
        <v>156.86300000000003</v>
      </c>
      <c r="F7">
        <f t="shared" si="2"/>
        <v>156.85100000000003</v>
      </c>
    </row>
    <row r="8" spans="1:16" x14ac:dyDescent="0.2">
      <c r="B8">
        <v>76</v>
      </c>
      <c r="C8">
        <v>96</v>
      </c>
      <c r="D8">
        <f t="shared" si="0"/>
        <v>156.86500000000001</v>
      </c>
      <c r="E8">
        <f t="shared" si="1"/>
        <v>156.88500000000002</v>
      </c>
      <c r="F8">
        <f t="shared" si="2"/>
        <v>156.875</v>
      </c>
    </row>
    <row r="9" spans="1:16" ht="17" x14ac:dyDescent="0.2">
      <c r="B9">
        <v>110</v>
      </c>
      <c r="C9">
        <v>125</v>
      </c>
      <c r="D9">
        <f t="shared" si="0"/>
        <v>156.89900000000003</v>
      </c>
      <c r="E9">
        <f t="shared" si="1"/>
        <v>156.91400000000002</v>
      </c>
      <c r="F9">
        <f t="shared" si="2"/>
        <v>156.90650000000002</v>
      </c>
      <c r="P9" s="3">
        <v>1.5</v>
      </c>
    </row>
    <row r="10" spans="1:16" x14ac:dyDescent="0.2">
      <c r="B10">
        <v>126</v>
      </c>
      <c r="C10">
        <v>150</v>
      </c>
      <c r="D10">
        <f t="shared" si="0"/>
        <v>156.91500000000002</v>
      </c>
      <c r="E10">
        <f t="shared" si="1"/>
        <v>156.93900000000002</v>
      </c>
      <c r="F10">
        <f t="shared" si="2"/>
        <v>156.92700000000002</v>
      </c>
      <c r="P10">
        <v>5.0999999999999996</v>
      </c>
    </row>
    <row r="11" spans="1:16" x14ac:dyDescent="0.2">
      <c r="B11">
        <v>151</v>
      </c>
      <c r="C11">
        <v>175</v>
      </c>
      <c r="D11">
        <f t="shared" si="0"/>
        <v>156.94000000000003</v>
      </c>
      <c r="E11">
        <f t="shared" si="1"/>
        <v>156.96400000000003</v>
      </c>
      <c r="F11">
        <f t="shared" si="2"/>
        <v>156.95200000000003</v>
      </c>
      <c r="P11">
        <v>8.5</v>
      </c>
    </row>
    <row r="12" spans="1:16" x14ac:dyDescent="0.2">
      <c r="B12">
        <v>176</v>
      </c>
      <c r="C12">
        <v>191</v>
      </c>
      <c r="D12">
        <f t="shared" si="0"/>
        <v>156.965</v>
      </c>
      <c r="E12">
        <f t="shared" si="1"/>
        <v>156.98000000000002</v>
      </c>
      <c r="F12">
        <f t="shared" si="2"/>
        <v>156.97250000000003</v>
      </c>
      <c r="P12">
        <v>10.8</v>
      </c>
    </row>
    <row r="13" spans="1:16" x14ac:dyDescent="0.2">
      <c r="B13">
        <v>201</v>
      </c>
      <c r="C13">
        <v>225</v>
      </c>
      <c r="D13">
        <f t="shared" si="0"/>
        <v>156.99</v>
      </c>
      <c r="E13">
        <f t="shared" si="1"/>
        <v>157.01400000000001</v>
      </c>
      <c r="F13">
        <f t="shared" si="2"/>
        <v>157.00200000000001</v>
      </c>
      <c r="P13">
        <v>13.3</v>
      </c>
    </row>
    <row r="14" spans="1:16" x14ac:dyDescent="0.2">
      <c r="B14">
        <v>225</v>
      </c>
      <c r="C14">
        <v>250</v>
      </c>
      <c r="D14">
        <f t="shared" si="0"/>
        <v>157.01400000000001</v>
      </c>
      <c r="E14">
        <f t="shared" si="1"/>
        <v>157.03900000000002</v>
      </c>
      <c r="F14">
        <f t="shared" si="2"/>
        <v>157.0265</v>
      </c>
      <c r="P14">
        <v>16.399999999999999</v>
      </c>
    </row>
    <row r="15" spans="1:16" x14ac:dyDescent="0.2">
      <c r="B15">
        <v>250</v>
      </c>
      <c r="C15">
        <v>260</v>
      </c>
      <c r="D15">
        <f t="shared" si="0"/>
        <v>157.03900000000002</v>
      </c>
      <c r="E15">
        <f t="shared" si="1"/>
        <v>157.04900000000001</v>
      </c>
      <c r="F15">
        <f t="shared" si="2"/>
        <v>157.04400000000001</v>
      </c>
      <c r="P15">
        <v>20.5</v>
      </c>
    </row>
    <row r="16" spans="1:16" x14ac:dyDescent="0.2">
      <c r="P16">
        <v>23</v>
      </c>
    </row>
    <row r="17" spans="2:16" x14ac:dyDescent="0.2">
      <c r="P17">
        <v>25.9</v>
      </c>
    </row>
    <row r="21" spans="2:16" x14ac:dyDescent="0.2">
      <c r="B21" t="s">
        <v>25</v>
      </c>
      <c r="C21" t="s">
        <v>26</v>
      </c>
      <c r="H21" t="s">
        <v>27</v>
      </c>
      <c r="I21" t="s">
        <v>28</v>
      </c>
    </row>
    <row r="22" spans="2:16" x14ac:dyDescent="0.2">
      <c r="B22">
        <v>156.77000000000001</v>
      </c>
      <c r="C22">
        <v>19</v>
      </c>
      <c r="H22" t="s">
        <v>13</v>
      </c>
      <c r="I22" t="s">
        <v>29</v>
      </c>
    </row>
    <row r="23" spans="2:16" x14ac:dyDescent="0.2">
      <c r="H23" t="s">
        <v>14</v>
      </c>
      <c r="I23" t="s">
        <v>30</v>
      </c>
    </row>
    <row r="24" spans="2:16" x14ac:dyDescent="0.2">
      <c r="H24" t="s">
        <v>15</v>
      </c>
      <c r="I24" t="s">
        <v>31</v>
      </c>
    </row>
    <row r="25" spans="2:16" x14ac:dyDescent="0.2">
      <c r="H25" t="s">
        <v>16</v>
      </c>
      <c r="I25" t="s">
        <v>32</v>
      </c>
    </row>
    <row r="26" spans="2:16" x14ac:dyDescent="0.2">
      <c r="H26" t="s">
        <v>17</v>
      </c>
      <c r="I26" t="s">
        <v>33</v>
      </c>
    </row>
    <row r="27" spans="2:16" x14ac:dyDescent="0.2">
      <c r="H27" t="s">
        <v>18</v>
      </c>
      <c r="I27" t="s">
        <v>34</v>
      </c>
    </row>
    <row r="28" spans="2:16" x14ac:dyDescent="0.2">
      <c r="H28" t="s">
        <v>19</v>
      </c>
      <c r="I28" t="s">
        <v>35</v>
      </c>
    </row>
    <row r="29" spans="2:16" x14ac:dyDescent="0.2">
      <c r="H29" t="s">
        <v>20</v>
      </c>
      <c r="I29" t="s">
        <v>36</v>
      </c>
    </row>
    <row r="30" spans="2:16" x14ac:dyDescent="0.2">
      <c r="H30" t="s">
        <v>21</v>
      </c>
      <c r="I30" t="s">
        <v>22</v>
      </c>
    </row>
    <row r="31" spans="2:16" x14ac:dyDescent="0.2">
      <c r="H31" t="s">
        <v>22</v>
      </c>
      <c r="I31" t="s">
        <v>23</v>
      </c>
    </row>
    <row r="32" spans="2:16" x14ac:dyDescent="0.2">
      <c r="H32" t="s">
        <v>23</v>
      </c>
      <c r="I3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O2N2_cuts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Kirkpatrick</dc:creator>
  <cp:lastModifiedBy>Liam Kirkpatrick</cp:lastModifiedBy>
  <dcterms:created xsi:type="dcterms:W3CDTF">2025-04-14T16:25:13Z</dcterms:created>
  <dcterms:modified xsi:type="dcterms:W3CDTF">2026-08-28T00:09:51Z</dcterms:modified>
</cp:coreProperties>
</file>